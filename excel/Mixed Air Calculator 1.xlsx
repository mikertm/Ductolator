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https://rtmoffice-my.sharepoint.com/personal/farhan_faisal_rtmec_com/Documents/Desktop/"/>
    </mc:Choice>
  </mc:AlternateContent>
  <xr:revisionPtr revIDLastSave="0" documentId="8_{6C847400-DCED-4F87-8421-01E59AF414E2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heet1 (2)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O12" i="2"/>
  <c r="O14" i="2" s="1"/>
  <c r="O15" i="2" s="1"/>
  <c r="M6" i="2"/>
  <c r="M5" i="2"/>
  <c r="B19" i="2"/>
  <c r="E19" i="2" s="1"/>
  <c r="B13" i="2"/>
  <c r="E13" i="2" s="1"/>
  <c r="H11" i="2" s="1"/>
  <c r="B7" i="2"/>
  <c r="E7" i="2" s="1"/>
  <c r="N17" i="2" l="1"/>
  <c r="H5" i="2"/>
  <c r="H17" i="2"/>
  <c r="E7" i="1"/>
  <c r="B19" i="1"/>
  <c r="E19" i="1" s="1"/>
  <c r="B13" i="1"/>
  <c r="E13" i="1" s="1"/>
  <c r="H11" i="1" l="1"/>
  <c r="H17" i="1"/>
  <c r="H5" i="1"/>
</calcChain>
</file>

<file path=xl/sharedStrings.xml><?xml version="1.0" encoding="utf-8"?>
<sst xmlns="http://schemas.openxmlformats.org/spreadsheetml/2006/main" count="65" uniqueCount="18">
  <si>
    <t>Total CFM</t>
  </si>
  <si>
    <t>SUMMER DB TABLE</t>
  </si>
  <si>
    <t>Outdoor</t>
  </si>
  <si>
    <t>Indoor</t>
  </si>
  <si>
    <t>Mixed Air</t>
  </si>
  <si>
    <t>DB</t>
  </si>
  <si>
    <t>WB</t>
  </si>
  <si>
    <t>% OA</t>
  </si>
  <si>
    <t>OA CFM</t>
  </si>
  <si>
    <t>RA CFM</t>
  </si>
  <si>
    <t>SUMMER WB TABLE</t>
  </si>
  <si>
    <t>MAT</t>
  </si>
  <si>
    <t>LAT</t>
  </si>
  <si>
    <t>DELTA T</t>
  </si>
  <si>
    <t>WINTER DB TABLE</t>
  </si>
  <si>
    <t>KW</t>
  </si>
  <si>
    <t>DB TABLE</t>
  </si>
  <si>
    <t>WB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</si>
</sst>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73B5-CBFF-4690-A0A6-124FE0736F9A}">
  <dimension ref="B2:O19"/>
  <sheetViews>
    <sheetView workbookViewId="0">
      <selection activeCell="H5" sqref="H5"/>
    </sheetView>
  </sheetViews>
  <sheetFormatPr defaultRowHeight="15"/>
  <sheetData>
    <row r="2" spans="2:15">
      <c r="B2">
        <v>2500</v>
      </c>
      <c r="C2" t="s">
        <v>0</v>
      </c>
    </row>
    <row r="3" spans="2:15">
      <c r="B3" s="3" t="s">
        <v>1</v>
      </c>
      <c r="C3" s="3"/>
      <c r="D3" s="3"/>
      <c r="E3" s="3"/>
      <c r="F3" s="3"/>
      <c r="G3" s="3"/>
      <c r="H3" s="3"/>
      <c r="I3" s="3"/>
    </row>
    <row r="4" spans="2:15">
      <c r="B4" s="3" t="s">
        <v>2</v>
      </c>
      <c r="C4" s="3"/>
      <c r="E4" s="3" t="s">
        <v>3</v>
      </c>
      <c r="F4" s="3"/>
      <c r="H4" s="3" t="s">
        <v>4</v>
      </c>
      <c r="I4" s="3"/>
    </row>
    <row r="5" spans="2:15">
      <c r="B5" s="1">
        <v>93.9</v>
      </c>
      <c r="C5" t="s">
        <v>5</v>
      </c>
      <c r="E5" s="1">
        <v>56</v>
      </c>
      <c r="F5" t="s">
        <v>5</v>
      </c>
      <c r="H5" s="2">
        <f>(B5*B7+E5*E7)/$B$2</f>
        <v>65.474999999999994</v>
      </c>
      <c r="I5" t="s">
        <v>6</v>
      </c>
      <c r="K5">
        <v>55</v>
      </c>
      <c r="M5">
        <f>80-55</f>
        <v>25</v>
      </c>
    </row>
    <row r="6" spans="2:15">
      <c r="B6" s="1">
        <v>25</v>
      </c>
      <c r="C6" t="s">
        <v>7</v>
      </c>
      <c r="M6">
        <f>75-55</f>
        <v>20</v>
      </c>
    </row>
    <row r="7" spans="2:15">
      <c r="B7">
        <f>B6*$B$2/100</f>
        <v>625</v>
      </c>
      <c r="C7" t="s">
        <v>8</v>
      </c>
      <c r="E7">
        <f>$B$2-B7</f>
        <v>1875</v>
      </c>
      <c r="F7" t="s">
        <v>9</v>
      </c>
    </row>
    <row r="9" spans="2:15">
      <c r="B9" s="3" t="s">
        <v>10</v>
      </c>
      <c r="C9" s="3"/>
      <c r="D9" s="3"/>
      <c r="E9" s="3"/>
      <c r="F9" s="3"/>
      <c r="G9" s="3"/>
      <c r="H9" s="3"/>
      <c r="I9" s="3"/>
    </row>
    <row r="10" spans="2:15">
      <c r="B10" s="3" t="s">
        <v>2</v>
      </c>
      <c r="C10" s="3"/>
      <c r="E10" s="3" t="s">
        <v>3</v>
      </c>
      <c r="F10" s="3"/>
      <c r="H10" s="3" t="s">
        <v>4</v>
      </c>
      <c r="I10" s="3"/>
      <c r="N10">
        <v>1050</v>
      </c>
      <c r="O10">
        <v>75</v>
      </c>
    </row>
    <row r="11" spans="2:15">
      <c r="B11" s="1">
        <v>60.7</v>
      </c>
      <c r="C11" t="s">
        <v>6</v>
      </c>
      <c r="E11" s="1">
        <v>62.4</v>
      </c>
      <c r="F11" t="s">
        <v>6</v>
      </c>
      <c r="H11">
        <f>(B11*B13+E11*E13)/$B$2</f>
        <v>61.805</v>
      </c>
      <c r="I11" t="s">
        <v>5</v>
      </c>
      <c r="N11">
        <v>450</v>
      </c>
      <c r="O11">
        <v>-10</v>
      </c>
    </row>
    <row r="12" spans="2:15">
      <c r="B12" s="1">
        <v>35</v>
      </c>
      <c r="C12" t="s">
        <v>7</v>
      </c>
      <c r="N12" t="s">
        <v>11</v>
      </c>
      <c r="O12">
        <f>((N10*O10)+(N11*O11))/(N10+N11)</f>
        <v>49.5</v>
      </c>
    </row>
    <row r="13" spans="2:15">
      <c r="B13">
        <f>B12*$B$2/100</f>
        <v>875</v>
      </c>
      <c r="C13" t="s">
        <v>8</v>
      </c>
      <c r="E13">
        <f>$B$2-B13</f>
        <v>1625</v>
      </c>
      <c r="F13" t="s">
        <v>9</v>
      </c>
      <c r="N13" t="s">
        <v>12</v>
      </c>
      <c r="O13">
        <v>95</v>
      </c>
    </row>
    <row r="14" spans="2:15">
      <c r="N14" t="s">
        <v>13</v>
      </c>
      <c r="O14">
        <f>O13-O12</f>
        <v>45.5</v>
      </c>
    </row>
    <row r="15" spans="2:15">
      <c r="B15" s="3" t="s">
        <v>14</v>
      </c>
      <c r="C15" s="3"/>
      <c r="D15" s="3"/>
      <c r="E15" s="3"/>
      <c r="F15" s="3"/>
      <c r="G15" s="3"/>
      <c r="H15" s="3"/>
      <c r="I15" s="3"/>
      <c r="N15" t="s">
        <v>15</v>
      </c>
      <c r="O15">
        <f>(O14*(N11+N10))/3193</f>
        <v>21.374882555590354</v>
      </c>
    </row>
    <row r="16" spans="2:15">
      <c r="B16" s="3" t="s">
        <v>2</v>
      </c>
      <c r="C16" s="3"/>
      <c r="E16" s="3" t="s">
        <v>3</v>
      </c>
      <c r="F16" s="3"/>
      <c r="H16" s="3" t="s">
        <v>4</v>
      </c>
      <c r="I16" s="3"/>
    </row>
    <row r="17" spans="2:14">
      <c r="B17" s="1">
        <v>-1</v>
      </c>
      <c r="C17" t="s">
        <v>5</v>
      </c>
      <c r="E17" s="1">
        <v>70</v>
      </c>
      <c r="F17" t="s">
        <v>5</v>
      </c>
      <c r="H17">
        <f>(B17*B19+E17*E19)/$B$2</f>
        <v>53.67</v>
      </c>
      <c r="I17" t="s">
        <v>5</v>
      </c>
      <c r="N17">
        <f>1.08*N11*O14</f>
        <v>22113.000000000004</v>
      </c>
    </row>
    <row r="18" spans="2:14">
      <c r="B18" s="1">
        <v>23</v>
      </c>
      <c r="C18" t="s">
        <v>7</v>
      </c>
    </row>
    <row r="19" spans="2:14">
      <c r="B19">
        <f>B18*$B$2/100</f>
        <v>575</v>
      </c>
      <c r="C19" t="s">
        <v>8</v>
      </c>
      <c r="E19">
        <f>$B$2-B19</f>
        <v>1925</v>
      </c>
      <c r="F19" t="s">
        <v>9</v>
      </c>
    </row>
  </sheetData>
  <mergeCells count="12">
    <mergeCell ref="B16:C16"/>
    <mergeCell ref="E16:F16"/>
    <mergeCell ref="H16:I16"/>
    <mergeCell ref="B3:I3"/>
    <mergeCell ref="B4:C4"/>
    <mergeCell ref="E4:F4"/>
    <mergeCell ref="H4:I4"/>
    <mergeCell ref="B9:I9"/>
    <mergeCell ref="B10:C10"/>
    <mergeCell ref="E10:F10"/>
    <mergeCell ref="H10:I10"/>
    <mergeCell ref="B15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"/>
  <sheetViews>
    <sheetView tabSelected="1" workbookViewId="0">
      <selection activeCell="Q22" sqref="Q22"/>
    </sheetView>
  </sheetViews>
  <sheetFormatPr defaultRowHeight="15"/>
  <sheetData>
    <row r="2" spans="2:9">
      <c r="B2">
        <v>7500</v>
      </c>
      <c r="C2" t="s">
        <v>0</v>
      </c>
    </row>
    <row r="3" spans="2:9">
      <c r="B3" s="3" t="s">
        <v>16</v>
      </c>
      <c r="C3" s="3"/>
      <c r="D3" s="3"/>
      <c r="E3" s="3"/>
      <c r="F3" s="3"/>
      <c r="G3" s="3"/>
      <c r="H3" s="3"/>
      <c r="I3" s="3"/>
    </row>
    <row r="4" spans="2:9">
      <c r="B4" s="3" t="s">
        <v>2</v>
      </c>
      <c r="C4" s="3"/>
      <c r="E4" s="3" t="s">
        <v>3</v>
      </c>
      <c r="F4" s="3"/>
      <c r="H4" s="3" t="s">
        <v>4</v>
      </c>
      <c r="I4" s="3"/>
    </row>
    <row r="5" spans="2:9">
      <c r="B5" s="1">
        <v>95</v>
      </c>
      <c r="C5" t="s">
        <v>6</v>
      </c>
      <c r="E5" s="1">
        <v>75</v>
      </c>
      <c r="F5" t="s">
        <v>6</v>
      </c>
      <c r="H5" s="2">
        <f>(B5*B7+E5*E7)/$B$2</f>
        <v>80</v>
      </c>
      <c r="I5" t="s">
        <v>6</v>
      </c>
    </row>
    <row r="6" spans="2:9">
      <c r="B6" s="1">
        <v>25</v>
      </c>
      <c r="C6" t="s">
        <v>7</v>
      </c>
    </row>
    <row r="7" spans="2:9">
      <c r="B7">
        <f>B6*$B$2/100</f>
        <v>1875</v>
      </c>
      <c r="C7" t="s">
        <v>8</v>
      </c>
      <c r="E7">
        <f>$B$2-B7</f>
        <v>5625</v>
      </c>
      <c r="F7" t="s">
        <v>9</v>
      </c>
    </row>
    <row r="9" spans="2:9">
      <c r="B9" s="3" t="s">
        <v>17</v>
      </c>
      <c r="C9" s="3"/>
      <c r="D9" s="3"/>
      <c r="E9" s="3"/>
      <c r="F9" s="3"/>
      <c r="G9" s="3"/>
      <c r="H9" s="3"/>
      <c r="I9" s="3"/>
    </row>
    <row r="10" spans="2:9">
      <c r="B10" s="3" t="s">
        <v>2</v>
      </c>
      <c r="C10" s="3"/>
      <c r="E10" s="3" t="s">
        <v>3</v>
      </c>
      <c r="F10" s="3"/>
      <c r="H10" s="3" t="s">
        <v>4</v>
      </c>
      <c r="I10" s="3"/>
    </row>
    <row r="11" spans="2:9">
      <c r="B11" s="1">
        <v>78</v>
      </c>
      <c r="C11" t="s">
        <v>5</v>
      </c>
      <c r="E11" s="1">
        <v>62.4</v>
      </c>
      <c r="F11" t="s">
        <v>5</v>
      </c>
      <c r="H11">
        <f>(B11*B13+E11*E13)/$B$2</f>
        <v>66.3</v>
      </c>
      <c r="I11" t="s">
        <v>5</v>
      </c>
    </row>
    <row r="12" spans="2:9">
      <c r="B12" s="1">
        <v>25</v>
      </c>
      <c r="C12" t="s">
        <v>7</v>
      </c>
    </row>
    <row r="13" spans="2:9">
      <c r="B13">
        <f>B12*$B$2/100</f>
        <v>1875</v>
      </c>
      <c r="C13" t="s">
        <v>8</v>
      </c>
      <c r="E13">
        <f>$B$2-B13</f>
        <v>5625</v>
      </c>
      <c r="F13" t="s">
        <v>9</v>
      </c>
    </row>
    <row r="16" spans="2:9">
      <c r="B16" s="3" t="s">
        <v>2</v>
      </c>
      <c r="C16" s="3"/>
      <c r="E16" s="3" t="s">
        <v>3</v>
      </c>
      <c r="F16" s="3"/>
      <c r="H16" s="3" t="s">
        <v>4</v>
      </c>
      <c r="I16" s="3"/>
    </row>
    <row r="17" spans="2:9">
      <c r="B17" s="1">
        <v>-15</v>
      </c>
      <c r="C17" t="s">
        <v>5</v>
      </c>
      <c r="E17" s="1">
        <v>70</v>
      </c>
      <c r="F17" t="s">
        <v>5</v>
      </c>
      <c r="H17">
        <f>(B17*B19+E17*E19)/$B$2</f>
        <v>48.75</v>
      </c>
      <c r="I17" t="s">
        <v>5</v>
      </c>
    </row>
    <row r="18" spans="2:9">
      <c r="B18" s="1">
        <v>25</v>
      </c>
      <c r="C18" t="s">
        <v>7</v>
      </c>
    </row>
    <row r="19" spans="2:9">
      <c r="B19">
        <f>B18*$B$2/100</f>
        <v>1875</v>
      </c>
      <c r="C19" t="s">
        <v>8</v>
      </c>
      <c r="E19">
        <f>$B$2-B19</f>
        <v>5625</v>
      </c>
      <c r="F19" t="s">
        <v>9</v>
      </c>
    </row>
  </sheetData>
  <mergeCells count="11">
    <mergeCell ref="B3:I3"/>
    <mergeCell ref="B16:C16"/>
    <mergeCell ref="E16:F16"/>
    <mergeCell ref="H16:I16"/>
    <mergeCell ref="B4:C4"/>
    <mergeCell ref="E4:F4"/>
    <mergeCell ref="H4:I4"/>
    <mergeCell ref="B10:C10"/>
    <mergeCell ref="E10:F10"/>
    <mergeCell ref="H10:I10"/>
    <mergeCell ref="B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Ross Smith</dc:creator>
  <cp:keywords/>
  <dc:description/>
  <cp:lastModifiedBy/>
  <cp:revision/>
  <dcterms:created xsi:type="dcterms:W3CDTF">2018-03-12T21:42:46Z</dcterms:created>
  <dcterms:modified xsi:type="dcterms:W3CDTF">2026-01-06T00:33:20Z</dcterms:modified>
  <cp:category/>
  <cp:contentStatus/>
</cp:coreProperties>
</file>